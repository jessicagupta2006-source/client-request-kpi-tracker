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KPI Dashboard" sheetId="2" r:id="rId6"/>
  </sheets>
  <definedNames/>
  <calcPr/>
</workbook>
</file>

<file path=xl/sharedStrings.xml><?xml version="1.0" encoding="utf-8"?>
<sst xmlns="http://schemas.openxmlformats.org/spreadsheetml/2006/main" count="146" uniqueCount="82">
  <si>
    <t>Request ID</t>
  </si>
  <si>
    <t>Client Name</t>
  </si>
  <si>
    <t>Request Date</t>
  </si>
  <si>
    <t>Request Type</t>
  </si>
  <si>
    <t>Priority</t>
  </si>
  <si>
    <t>Status</t>
  </si>
  <si>
    <t>Assigned To</t>
  </si>
  <si>
    <t>Resolution Time (Days)</t>
  </si>
  <si>
    <t>SLA (Days)</t>
  </si>
  <si>
    <t>Client Rating</t>
  </si>
  <si>
    <t>SLA Status</t>
  </si>
  <si>
    <t>REQ001</t>
  </si>
  <si>
    <t>Alpha Technologies</t>
  </si>
  <si>
    <t>Technical Support</t>
  </si>
  <si>
    <t>High</t>
  </si>
  <si>
    <t>Resolved</t>
  </si>
  <si>
    <t>Ananya</t>
  </si>
  <si>
    <t>REQ002</t>
  </si>
  <si>
    <t>Bright Solutions</t>
  </si>
  <si>
    <t>Billing</t>
  </si>
  <si>
    <t>Medium</t>
  </si>
  <si>
    <t>Rahul</t>
  </si>
  <si>
    <t>REQ003</t>
  </si>
  <si>
    <t>Core Industries</t>
  </si>
  <si>
    <t>Critical</t>
  </si>
  <si>
    <t>Priya</t>
  </si>
  <si>
    <t>REQ004</t>
  </si>
  <si>
    <t>Delta Retail</t>
  </si>
  <si>
    <t>Account Update</t>
  </si>
  <si>
    <t>Low</t>
  </si>
  <si>
    <t>Arjun</t>
  </si>
  <si>
    <t>REQ005</t>
  </si>
  <si>
    <t>Evergreen Ltd</t>
  </si>
  <si>
    <t>Complaint</t>
  </si>
  <si>
    <t>Open</t>
  </si>
  <si>
    <t>Neha</t>
  </si>
  <si>
    <t>REQ006</t>
  </si>
  <si>
    <t>Fusion Corp</t>
  </si>
  <si>
    <t>REQ007</t>
  </si>
  <si>
    <t>Globe Systems</t>
  </si>
  <si>
    <t>REQ008</t>
  </si>
  <si>
    <t>Horizon Pvt Ltd</t>
  </si>
  <si>
    <t>REQ009</t>
  </si>
  <si>
    <t>Innovate Labs</t>
  </si>
  <si>
    <t>Escalated</t>
  </si>
  <si>
    <t>REQ010</t>
  </si>
  <si>
    <t>Jupiter Services</t>
  </si>
  <si>
    <t>REQ011</t>
  </si>
  <si>
    <t>Krypton Ltd</t>
  </si>
  <si>
    <t>REQ012</t>
  </si>
  <si>
    <t>Lumina Group</t>
  </si>
  <si>
    <t>REQ013</t>
  </si>
  <si>
    <t>Metro Industries</t>
  </si>
  <si>
    <t>13/09/2026</t>
  </si>
  <si>
    <t>REQ014</t>
  </si>
  <si>
    <t>Nova Enterprises</t>
  </si>
  <si>
    <t>14/09/2026</t>
  </si>
  <si>
    <t>REQ015</t>
  </si>
  <si>
    <t>Orion Tech</t>
  </si>
  <si>
    <t>15/09/2026</t>
  </si>
  <si>
    <t>REQ016</t>
  </si>
  <si>
    <t>Pioneer Ltd</t>
  </si>
  <si>
    <t>16/09/2026</t>
  </si>
  <si>
    <t>REQ017</t>
  </si>
  <si>
    <t>Quantum Solutions</t>
  </si>
  <si>
    <t>17/09/2026</t>
  </si>
  <si>
    <t>REQ018</t>
  </si>
  <si>
    <t>Rapid Systems</t>
  </si>
  <si>
    <t>18/09/2026</t>
  </si>
  <si>
    <t>REQ019</t>
  </si>
  <si>
    <t>Sigma Corp</t>
  </si>
  <si>
    <t>19/09/2026</t>
  </si>
  <si>
    <t>REQ020</t>
  </si>
  <si>
    <t>Trinity Ltd</t>
  </si>
  <si>
    <t>20/09/2026</t>
  </si>
  <si>
    <t>KPI</t>
  </si>
  <si>
    <t>Total Client Requests</t>
  </si>
  <si>
    <t>Resolved Requests</t>
  </si>
  <si>
    <t>Open Requests</t>
  </si>
  <si>
    <t>Average Client Rating</t>
  </si>
  <si>
    <t>SLA Compliance %</t>
  </si>
  <si>
    <t>Breached SLA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</si>
</sst>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1" fillId="2" fontId="1" numFmtId="0" xfId="0" applyAlignment="1" applyBorder="1" applyFill="1" applyFont="1">
      <alignment readingOrder="0"/>
    </xf>
    <xf borderId="1" fillId="3" fontId="2" numFmtId="0" xfId="0" applyBorder="1" applyFill="1" applyFont="1"/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0" fontId="1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Request Status Overview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'KPI Dashboard'!$A$3:$A$4</c:f>
            </c:strRef>
          </c:cat>
          <c:val>
            <c:numRef>
              <c:f>'KPI Dashboard'!$B$3:$B$4</c:f>
              <c:numCache/>
            </c:numRef>
          </c:val>
        </c:ser>
        <c:axId val="1949683514"/>
        <c:axId val="520474644"/>
      </c:barChart>
      <c:catAx>
        <c:axId val="1949683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474644"/>
      </c:catAx>
      <c:valAx>
        <c:axId val="5204746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683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1</xdr:row>
      <xdr:rowOff>200025</xdr:rowOff>
    </xdr:from>
    <xdr:ext cx="5715000" cy="3533775"/>
    <xdr:pic>
      <xdr:nvPicPr>
        <xdr:cNvPr id="105070272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1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504825</xdr:colOff>
      <xdr:row>2</xdr:row>
      <xdr:rowOff>57150</xdr:rowOff>
    </xdr:from>
    <xdr:ext cx="5715000" cy="3533775"/>
    <xdr:pic>
      <xdr:nvPicPr>
        <xdr:cNvPr id="10670415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46031.0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2.0</v>
      </c>
      <c r="I2" s="1">
        <v>3.0</v>
      </c>
      <c r="J2" s="1">
        <v>5.0</v>
      </c>
      <c r="K2" s="3" t="str">
        <f t="shared" ref="K2:K21" si="1">IF(H2&lt;=I2,"Within SLA","Breached SLA")</f>
        <v>Within SLA</v>
      </c>
    </row>
    <row r="3">
      <c r="A3" s="1" t="s">
        <v>17</v>
      </c>
      <c r="B3" s="1" t="s">
        <v>18</v>
      </c>
      <c r="C3" s="2">
        <v>46062.0</v>
      </c>
      <c r="D3" s="1" t="s">
        <v>19</v>
      </c>
      <c r="E3" s="1" t="s">
        <v>20</v>
      </c>
      <c r="F3" s="1" t="s">
        <v>15</v>
      </c>
      <c r="G3" s="1" t="s">
        <v>21</v>
      </c>
      <c r="H3" s="1">
        <v>3.0</v>
      </c>
      <c r="I3" s="1">
        <v>5.0</v>
      </c>
      <c r="J3" s="1">
        <v>4.0</v>
      </c>
      <c r="K3" s="3" t="str">
        <f t="shared" si="1"/>
        <v>Within SLA</v>
      </c>
    </row>
    <row r="4">
      <c r="A4" s="1" t="s">
        <v>22</v>
      </c>
      <c r="B4" s="1" t="s">
        <v>23</v>
      </c>
      <c r="C4" s="2">
        <v>46090.0</v>
      </c>
      <c r="D4" s="1" t="s">
        <v>13</v>
      </c>
      <c r="E4" s="1" t="s">
        <v>24</v>
      </c>
      <c r="F4" s="1" t="s">
        <v>15</v>
      </c>
      <c r="G4" s="1" t="s">
        <v>25</v>
      </c>
      <c r="H4" s="1">
        <v>1.0</v>
      </c>
      <c r="I4" s="1">
        <v>2.0</v>
      </c>
      <c r="J4" s="1">
        <v>5.0</v>
      </c>
      <c r="K4" s="3" t="str">
        <f t="shared" si="1"/>
        <v>Within SLA</v>
      </c>
    </row>
    <row r="5">
      <c r="A5" s="1" t="s">
        <v>26</v>
      </c>
      <c r="B5" s="1" t="s">
        <v>27</v>
      </c>
      <c r="C5" s="2">
        <v>46121.0</v>
      </c>
      <c r="D5" s="1" t="s">
        <v>28</v>
      </c>
      <c r="E5" s="1" t="s">
        <v>29</v>
      </c>
      <c r="F5" s="1" t="s">
        <v>15</v>
      </c>
      <c r="G5" s="1" t="s">
        <v>30</v>
      </c>
      <c r="H5" s="1">
        <v>2.0</v>
      </c>
      <c r="I5" s="1">
        <v>4.0</v>
      </c>
      <c r="J5" s="1">
        <v>4.0</v>
      </c>
      <c r="K5" s="3" t="str">
        <f t="shared" si="1"/>
        <v>Within SLA</v>
      </c>
    </row>
    <row r="6">
      <c r="A6" s="1" t="s">
        <v>31</v>
      </c>
      <c r="B6" s="1" t="s">
        <v>32</v>
      </c>
      <c r="C6" s="2">
        <v>46151.0</v>
      </c>
      <c r="D6" s="1" t="s">
        <v>33</v>
      </c>
      <c r="E6" s="1" t="s">
        <v>14</v>
      </c>
      <c r="F6" s="1" t="s">
        <v>34</v>
      </c>
      <c r="G6" s="1" t="s">
        <v>35</v>
      </c>
      <c r="H6" s="1">
        <v>5.0</v>
      </c>
      <c r="I6" s="1">
        <v>3.0</v>
      </c>
      <c r="J6" s="1">
        <v>3.0</v>
      </c>
      <c r="K6" s="3" t="str">
        <f t="shared" si="1"/>
        <v>Breached SLA</v>
      </c>
    </row>
    <row r="7">
      <c r="A7" s="1" t="s">
        <v>36</v>
      </c>
      <c r="B7" s="1" t="s">
        <v>37</v>
      </c>
      <c r="C7" s="2">
        <v>46182.0</v>
      </c>
      <c r="D7" s="1" t="s">
        <v>19</v>
      </c>
      <c r="E7" s="1" t="s">
        <v>20</v>
      </c>
      <c r="F7" s="1" t="s">
        <v>15</v>
      </c>
      <c r="G7" s="1" t="s">
        <v>21</v>
      </c>
      <c r="H7" s="1">
        <v>4.0</v>
      </c>
      <c r="I7" s="1">
        <v>5.0</v>
      </c>
      <c r="J7" s="1">
        <v>4.0</v>
      </c>
      <c r="K7" s="3" t="str">
        <f t="shared" si="1"/>
        <v>Within SLA</v>
      </c>
    </row>
    <row r="8">
      <c r="A8" s="1" t="s">
        <v>38</v>
      </c>
      <c r="B8" s="1" t="s">
        <v>39</v>
      </c>
      <c r="C8" s="2">
        <v>46212.0</v>
      </c>
      <c r="D8" s="1" t="s">
        <v>13</v>
      </c>
      <c r="E8" s="1" t="s">
        <v>14</v>
      </c>
      <c r="F8" s="1" t="s">
        <v>15</v>
      </c>
      <c r="G8" s="1" t="s">
        <v>16</v>
      </c>
      <c r="H8" s="1">
        <v>2.0</v>
      </c>
      <c r="I8" s="1">
        <v>3.0</v>
      </c>
      <c r="J8" s="1">
        <v>5.0</v>
      </c>
      <c r="K8" s="3" t="str">
        <f t="shared" si="1"/>
        <v>Within SLA</v>
      </c>
    </row>
    <row r="9">
      <c r="A9" s="1" t="s">
        <v>40</v>
      </c>
      <c r="B9" s="1" t="s">
        <v>41</v>
      </c>
      <c r="C9" s="2">
        <v>46243.0</v>
      </c>
      <c r="D9" s="1" t="s">
        <v>28</v>
      </c>
      <c r="E9" s="1" t="s">
        <v>29</v>
      </c>
      <c r="F9" s="1" t="s">
        <v>15</v>
      </c>
      <c r="G9" s="1" t="s">
        <v>25</v>
      </c>
      <c r="H9" s="1">
        <v>1.0</v>
      </c>
      <c r="I9" s="1">
        <v>4.0</v>
      </c>
      <c r="J9" s="1">
        <v>5.0</v>
      </c>
      <c r="K9" s="3" t="str">
        <f t="shared" si="1"/>
        <v>Within SLA</v>
      </c>
    </row>
    <row r="10">
      <c r="A10" s="1" t="s">
        <v>42</v>
      </c>
      <c r="B10" s="1" t="s">
        <v>43</v>
      </c>
      <c r="C10" s="2">
        <v>46274.0</v>
      </c>
      <c r="D10" s="1" t="s">
        <v>33</v>
      </c>
      <c r="E10" s="1" t="s">
        <v>24</v>
      </c>
      <c r="F10" s="1" t="s">
        <v>44</v>
      </c>
      <c r="G10" s="1" t="s">
        <v>30</v>
      </c>
      <c r="H10" s="1">
        <v>6.0</v>
      </c>
      <c r="I10" s="1">
        <v>2.0</v>
      </c>
      <c r="J10" s="1">
        <v>2.0</v>
      </c>
      <c r="K10" s="3" t="str">
        <f t="shared" si="1"/>
        <v>Breached SLA</v>
      </c>
    </row>
    <row r="11">
      <c r="A11" s="1" t="s">
        <v>45</v>
      </c>
      <c r="B11" s="1" t="s">
        <v>46</v>
      </c>
      <c r="C11" s="2">
        <v>46304.0</v>
      </c>
      <c r="D11" s="1" t="s">
        <v>19</v>
      </c>
      <c r="E11" s="1" t="s">
        <v>20</v>
      </c>
      <c r="F11" s="1" t="s">
        <v>15</v>
      </c>
      <c r="G11" s="1" t="s">
        <v>35</v>
      </c>
      <c r="H11" s="1">
        <v>3.0</v>
      </c>
      <c r="I11" s="1">
        <v>5.0</v>
      </c>
      <c r="J11" s="1">
        <v>4.0</v>
      </c>
      <c r="K11" s="3" t="str">
        <f t="shared" si="1"/>
        <v>Within SLA</v>
      </c>
    </row>
    <row r="12">
      <c r="A12" s="1" t="s">
        <v>47</v>
      </c>
      <c r="B12" s="1" t="s">
        <v>48</v>
      </c>
      <c r="C12" s="2">
        <v>46335.0</v>
      </c>
      <c r="D12" s="1" t="s">
        <v>13</v>
      </c>
      <c r="E12" s="1" t="s">
        <v>14</v>
      </c>
      <c r="F12" s="1" t="s">
        <v>15</v>
      </c>
      <c r="G12" s="1" t="s">
        <v>21</v>
      </c>
      <c r="H12" s="1">
        <v>2.0</v>
      </c>
      <c r="I12" s="1">
        <v>3.0</v>
      </c>
      <c r="J12" s="1">
        <v>5.0</v>
      </c>
      <c r="K12" s="3" t="str">
        <f t="shared" si="1"/>
        <v>Within SLA</v>
      </c>
    </row>
    <row r="13">
      <c r="A13" s="1" t="s">
        <v>49</v>
      </c>
      <c r="B13" s="1" t="s">
        <v>50</v>
      </c>
      <c r="C13" s="2">
        <v>46365.0</v>
      </c>
      <c r="D13" s="1" t="s">
        <v>28</v>
      </c>
      <c r="E13" s="1" t="s">
        <v>29</v>
      </c>
      <c r="F13" s="1" t="s">
        <v>15</v>
      </c>
      <c r="G13" s="1" t="s">
        <v>16</v>
      </c>
      <c r="H13" s="1">
        <v>2.0</v>
      </c>
      <c r="I13" s="1">
        <v>4.0</v>
      </c>
      <c r="J13" s="1">
        <v>4.0</v>
      </c>
      <c r="K13" s="3" t="str">
        <f t="shared" si="1"/>
        <v>Within SLA</v>
      </c>
    </row>
    <row r="14">
      <c r="A14" s="1" t="s">
        <v>51</v>
      </c>
      <c r="B14" s="1" t="s">
        <v>52</v>
      </c>
      <c r="C14" s="1" t="s">
        <v>53</v>
      </c>
      <c r="D14" s="1" t="s">
        <v>33</v>
      </c>
      <c r="E14" s="1" t="s">
        <v>14</v>
      </c>
      <c r="F14" s="1" t="s">
        <v>34</v>
      </c>
      <c r="G14" s="1" t="s">
        <v>25</v>
      </c>
      <c r="H14" s="1">
        <v>5.0</v>
      </c>
      <c r="I14" s="1">
        <v>3.0</v>
      </c>
      <c r="J14" s="1">
        <v>3.0</v>
      </c>
      <c r="K14" s="3" t="str">
        <f t="shared" si="1"/>
        <v>Breached SLA</v>
      </c>
    </row>
    <row r="15">
      <c r="A15" s="1" t="s">
        <v>54</v>
      </c>
      <c r="B15" s="1" t="s">
        <v>55</v>
      </c>
      <c r="C15" s="1" t="s">
        <v>56</v>
      </c>
      <c r="D15" s="1" t="s">
        <v>19</v>
      </c>
      <c r="E15" s="1" t="s">
        <v>20</v>
      </c>
      <c r="F15" s="1" t="s">
        <v>15</v>
      </c>
      <c r="G15" s="1" t="s">
        <v>30</v>
      </c>
      <c r="H15" s="1">
        <v>4.0</v>
      </c>
      <c r="I15" s="1">
        <v>5.0</v>
      </c>
      <c r="J15" s="1">
        <v>4.0</v>
      </c>
      <c r="K15" s="3" t="str">
        <f t="shared" si="1"/>
        <v>Within SLA</v>
      </c>
    </row>
    <row r="16">
      <c r="A16" s="1" t="s">
        <v>57</v>
      </c>
      <c r="B16" s="1" t="s">
        <v>58</v>
      </c>
      <c r="C16" s="1" t="s">
        <v>59</v>
      </c>
      <c r="D16" s="1" t="s">
        <v>13</v>
      </c>
      <c r="E16" s="1" t="s">
        <v>24</v>
      </c>
      <c r="F16" s="1" t="s">
        <v>15</v>
      </c>
      <c r="G16" s="1" t="s">
        <v>35</v>
      </c>
      <c r="H16" s="1">
        <v>1.0</v>
      </c>
      <c r="I16" s="1">
        <v>2.0</v>
      </c>
      <c r="J16" s="1">
        <v>5.0</v>
      </c>
      <c r="K16" s="3" t="str">
        <f t="shared" si="1"/>
        <v>Within SLA</v>
      </c>
    </row>
    <row r="17">
      <c r="A17" s="1" t="s">
        <v>60</v>
      </c>
      <c r="B17" s="1" t="s">
        <v>61</v>
      </c>
      <c r="C17" s="1" t="s">
        <v>62</v>
      </c>
      <c r="D17" s="1" t="s">
        <v>28</v>
      </c>
      <c r="E17" s="1" t="s">
        <v>29</v>
      </c>
      <c r="F17" s="1" t="s">
        <v>15</v>
      </c>
      <c r="G17" s="1" t="s">
        <v>21</v>
      </c>
      <c r="H17" s="1">
        <v>2.0</v>
      </c>
      <c r="I17" s="1">
        <v>4.0</v>
      </c>
      <c r="J17" s="1">
        <v>5.0</v>
      </c>
      <c r="K17" s="3" t="str">
        <f t="shared" si="1"/>
        <v>Within SLA</v>
      </c>
    </row>
    <row r="18">
      <c r="A18" s="1" t="s">
        <v>63</v>
      </c>
      <c r="B18" s="1" t="s">
        <v>64</v>
      </c>
      <c r="C18" s="1" t="s">
        <v>65</v>
      </c>
      <c r="D18" s="1" t="s">
        <v>33</v>
      </c>
      <c r="E18" s="1" t="s">
        <v>14</v>
      </c>
      <c r="F18" s="1" t="s">
        <v>44</v>
      </c>
      <c r="G18" s="1" t="s">
        <v>16</v>
      </c>
      <c r="H18" s="1">
        <v>5.0</v>
      </c>
      <c r="I18" s="1">
        <v>3.0</v>
      </c>
      <c r="J18" s="1">
        <v>2.0</v>
      </c>
      <c r="K18" s="3" t="str">
        <f t="shared" si="1"/>
        <v>Breached SLA</v>
      </c>
    </row>
    <row r="19">
      <c r="A19" s="1" t="s">
        <v>66</v>
      </c>
      <c r="B19" s="1" t="s">
        <v>67</v>
      </c>
      <c r="C19" s="1" t="s">
        <v>68</v>
      </c>
      <c r="D19" s="1" t="s">
        <v>19</v>
      </c>
      <c r="E19" s="1" t="s">
        <v>20</v>
      </c>
      <c r="F19" s="1" t="s">
        <v>15</v>
      </c>
      <c r="G19" s="1" t="s">
        <v>25</v>
      </c>
      <c r="H19" s="1">
        <v>3.0</v>
      </c>
      <c r="I19" s="1">
        <v>5.0</v>
      </c>
      <c r="J19" s="1">
        <v>4.0</v>
      </c>
      <c r="K19" s="3" t="str">
        <f t="shared" si="1"/>
        <v>Within SLA</v>
      </c>
    </row>
    <row r="20">
      <c r="A20" s="1" t="s">
        <v>69</v>
      </c>
      <c r="B20" s="1" t="s">
        <v>70</v>
      </c>
      <c r="C20" s="1" t="s">
        <v>71</v>
      </c>
      <c r="D20" s="1" t="s">
        <v>13</v>
      </c>
      <c r="E20" s="1" t="s">
        <v>14</v>
      </c>
      <c r="F20" s="1" t="s">
        <v>15</v>
      </c>
      <c r="G20" s="1" t="s">
        <v>30</v>
      </c>
      <c r="H20" s="1">
        <v>2.0</v>
      </c>
      <c r="I20" s="1">
        <v>3.0</v>
      </c>
      <c r="J20" s="1">
        <v>5.0</v>
      </c>
      <c r="K20" s="3" t="str">
        <f t="shared" si="1"/>
        <v>Within SLA</v>
      </c>
    </row>
    <row r="21">
      <c r="A21" s="1" t="s">
        <v>72</v>
      </c>
      <c r="B21" s="1" t="s">
        <v>73</v>
      </c>
      <c r="C21" s="1" t="s">
        <v>74</v>
      </c>
      <c r="D21" s="1" t="s">
        <v>28</v>
      </c>
      <c r="E21" s="1" t="s">
        <v>29</v>
      </c>
      <c r="F21" s="1" t="s">
        <v>15</v>
      </c>
      <c r="G21" s="1" t="s">
        <v>35</v>
      </c>
      <c r="H21" s="1">
        <v>1.0</v>
      </c>
      <c r="I21" s="1">
        <v>4.0</v>
      </c>
      <c r="J21" s="1">
        <v>4.0</v>
      </c>
      <c r="K21" s="3" t="str">
        <f t="shared" si="1"/>
        <v>Within SLA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4" t="s">
        <v>75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76</v>
      </c>
      <c r="B2" s="8">
        <f>COUNTA(Sheet1!D2:D21)</f>
        <v>20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77</v>
      </c>
      <c r="B3" s="8">
        <f>COUNTIF(Sheet1!F2:F21,"Resolved")</f>
        <v>16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78</v>
      </c>
      <c r="B4" s="8">
        <f>COUNTIF(Sheet1!F2:F21,"Open")</f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79</v>
      </c>
      <c r="B5" s="8">
        <f>AVERAGE(Sheet1!J2:J21)</f>
        <v>4.1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80</v>
      </c>
      <c r="B6" s="9">
        <f>COUNTIF(Sheet1!K2:K21,"Within SLA")/COUNTA(Sheet1!K2:K21)</f>
        <v>0.8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81</v>
      </c>
      <c r="B7" s="8">
        <f>COUNTIF(Sheet1!K2:K21,"Breached SLA")</f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</sheetData>
  <drawing r:id="rId1"/>
</worksheet>
</file>